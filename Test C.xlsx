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kbank-my.sharepoint.com/personal/biju_skariah_rakbank_ae/Documents/Desktop/"/>
    </mc:Choice>
  </mc:AlternateContent>
  <xr:revisionPtr revIDLastSave="103" documentId="8_{E6875F68-275F-4441-92E9-6AE3906813F8}" xr6:coauthVersionLast="47" xr6:coauthVersionMax="47" xr10:uidLastSave="{7E50AA6D-5DC3-413F-9B94-5F408701DEAD}"/>
  <bookViews>
    <workbookView xWindow="-120" yWindow="-120" windowWidth="29040" windowHeight="15720" xr2:uid="{8A107CF3-AC51-4044-96E5-0DC9EFDD8CFC}"/>
  </bookViews>
  <sheets>
    <sheet name="Infosec" sheetId="1" r:id="rId1"/>
    <sheet name="IT Gov" sheetId="2" r:id="rId2"/>
    <sheet name="IT Inf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E21" i="3"/>
  <c r="E20" i="3"/>
  <c r="E19" i="3"/>
  <c r="E18" i="3"/>
  <c r="E17" i="3"/>
  <c r="E22" i="3" s="1"/>
  <c r="E10" i="3"/>
  <c r="E9" i="3"/>
  <c r="E8" i="3"/>
  <c r="E7" i="3"/>
  <c r="E6" i="3"/>
  <c r="E11" i="3" s="1"/>
  <c r="B28" i="2"/>
  <c r="B28" i="1"/>
  <c r="E21" i="2"/>
  <c r="E20" i="2"/>
  <c r="E19" i="2"/>
  <c r="E18" i="2"/>
  <c r="E17" i="2"/>
  <c r="E22" i="2" s="1"/>
  <c r="E10" i="2"/>
  <c r="E9" i="2"/>
  <c r="E8" i="2"/>
  <c r="E7" i="2"/>
  <c r="E6" i="2"/>
  <c r="E11" i="2" s="1"/>
  <c r="E21" i="1"/>
  <c r="E20" i="1"/>
  <c r="E19" i="1"/>
  <c r="E18" i="1"/>
  <c r="E17" i="1"/>
  <c r="E22" i="1" s="1"/>
  <c r="E10" i="1"/>
  <c r="E9" i="1"/>
  <c r="E8" i="1"/>
  <c r="E7" i="1"/>
  <c r="E6" i="1"/>
  <c r="E11" i="1" s="1"/>
  <c r="B25" i="3" l="1"/>
  <c r="B25" i="2"/>
  <c r="B25" i="1"/>
</calcChain>
</file>

<file path=xl/sharedStrings.xml><?xml version="1.0" encoding="utf-8"?>
<sst xmlns="http://schemas.openxmlformats.org/spreadsheetml/2006/main" count="251" uniqueCount="82">
  <si>
    <t>Audit: Information Cyber Security</t>
  </si>
  <si>
    <t>Likelihood</t>
  </si>
  <si>
    <t>Strategic &amp; Business Risk</t>
  </si>
  <si>
    <t>Financial &amp; Prudential Risk</t>
  </si>
  <si>
    <t>Regulatory, Compliance &amp; Conduct Risk</t>
  </si>
  <si>
    <t>Operational &amp; Technology Risk</t>
  </si>
  <si>
    <t>Change, Governance &amp; Third-Party Risk</t>
  </si>
  <si>
    <t>Impact</t>
  </si>
  <si>
    <t>Inherent Risk Type</t>
  </si>
  <si>
    <t>Weight</t>
  </si>
  <si>
    <t>Scale (1–5)</t>
  </si>
  <si>
    <t>Matrix Value</t>
  </si>
  <si>
    <t>(2–10)</t>
  </si>
  <si>
    <t>Weighted</t>
  </si>
  <si>
    <t>Score</t>
  </si>
  <si>
    <t>Guidance</t>
  </si>
  <si>
    <t>Risk Matrix (2–10)</t>
  </si>
  <si>
    <t>1 – Rare</t>
  </si>
  <si>
    <t>Stable environment; minimal historical occurrence</t>
  </si>
  <si>
    <t>2 – Unlikely</t>
  </si>
  <si>
    <t>Limited incidents; infrequent occurrence</t>
  </si>
  <si>
    <t>3 – Possible</t>
  </si>
  <si>
    <t>Could occur under certain conditions</t>
  </si>
  <si>
    <t>4 – Likely</t>
  </si>
  <si>
    <t>Occurs periodically or conditions are volatile</t>
  </si>
  <si>
    <t>5 – Almost Certain</t>
  </si>
  <si>
    <t>Frequent or recurring occurrence</t>
  </si>
  <si>
    <t>Risk Matrix value</t>
  </si>
  <si>
    <t>1 – Insignificant</t>
  </si>
  <si>
    <t>No material financial, regulatory, or reputational impact</t>
  </si>
  <si>
    <t>2 – Minor</t>
  </si>
  <si>
    <t>contained and manageable impact</t>
  </si>
  <si>
    <t>3 – Moderate</t>
  </si>
  <si>
    <t>Material business impact requiring management action</t>
  </si>
  <si>
    <t>4 – Major</t>
  </si>
  <si>
    <t>5 – Severe</t>
  </si>
  <si>
    <t>Significant impact on capital, regulatory standing, or franchise value</t>
  </si>
  <si>
    <t>Rationale</t>
  </si>
  <si>
    <t>Total</t>
  </si>
  <si>
    <t xml:space="preserve">Inherent Risk  </t>
  </si>
  <si>
    <t>Final Output</t>
  </si>
  <si>
    <t>Control Enviroment Rating</t>
  </si>
  <si>
    <t>Residual Risk</t>
  </si>
  <si>
    <t>Note: Need to fill this</t>
  </si>
  <si>
    <t xml:space="preserve">Multiple regulatory obligations </t>
  </si>
  <si>
    <t>Multiple security solutions, absence of complete asset inventory</t>
  </si>
  <si>
    <t>No financial loss evidenced</t>
  </si>
  <si>
    <t>External volatility (geopolitical risks),                                                            New Emerging Cyber risks</t>
  </si>
  <si>
    <t>High reliance on vendor and outsourced staff</t>
  </si>
  <si>
    <t>Significant technology or cyber incidents could disrupt critical services, impact customer trust, and impede strategic objectives.</t>
  </si>
  <si>
    <t>The potential impact is assessed as moderate given the scale of Infosec operations</t>
  </si>
  <si>
    <t>Regulatory expectations around cyber resilience, outsourcing, and data protection mean breaches would have significant regulatory and reputational consequence</t>
  </si>
  <si>
    <t>Vendor‑related incidents could have direct and significant operational, financial, and reputational impact on the organisation.</t>
  </si>
  <si>
    <t>Given the critical dependency of business processes on technology, the impact of failure is assessed as high.</t>
  </si>
  <si>
    <r>
      <t>Bank</t>
    </r>
    <r>
      <rPr>
        <sz val="9"/>
        <color rgb="FF000000"/>
        <rFont val="Cambria Math"/>
        <family val="1"/>
      </rPr>
      <t>‑</t>
    </r>
    <r>
      <rPr>
        <sz val="9"/>
        <color rgb="FF000000"/>
        <rFont val="Verdana"/>
        <family val="2"/>
      </rPr>
      <t>wide financial,operational, or regulatory impact</t>
    </r>
  </si>
  <si>
    <t>Audit: IT Governance</t>
  </si>
  <si>
    <t>Misalignment between business strategy and IT priorities increases the likelihood that technology investments may not fully support strategic objectives or risk appetite.</t>
  </si>
  <si>
    <t>IT governance weaknesses may lead to inefficient spend, duplicated investments, or sub‑optimal ROI, however no material financial loss has been evidenced to date.</t>
  </si>
  <si>
    <t>Inconsistent ownership, documentation, or oversight increases the likelihood of regulatory non‑compliance or supervisory observations</t>
  </si>
  <si>
    <t>Gaps in IT governance (e.g., unclear roles, fragmented decision‑making, inadequate KPIs) increase the likelihood of ineffective control design and execution.</t>
  </si>
  <si>
    <t>Ongoing organisational and technology changes elevate the risk of inconsistent governance practices.</t>
  </si>
  <si>
    <t>Weak IT governance could result in misaligned technology investments, delayed delivery of strategic initiatives, and reduced competitive advantage</t>
  </si>
  <si>
    <t>Ineffective governance can lead to cost overruns, inefficient vendor spend, and uncontrolled technology investments, with potential medium‑term financial impact.</t>
  </si>
  <si>
    <t>The reputational impact of adverse regulatory outcomes is assessed as Minor.</t>
  </si>
  <si>
    <t>Governance failures relating to change management or third‑party oversight could result in significant service disruption, control failures, or compliance breaches.</t>
  </si>
  <si>
    <t>Poor IT governance increases the risk of system instability, ineffective risk management, delayed remediation, and weak security posture.</t>
  </si>
  <si>
    <t>Inherent Risk Rating</t>
  </si>
  <si>
    <t>Rating Bands</t>
  </si>
  <si>
    <t>Inherent Risk Score</t>
  </si>
  <si>
    <t>Very Low</t>
  </si>
  <si>
    <t>0 to 2</t>
  </si>
  <si>
    <t>Low</t>
  </si>
  <si>
    <t>2.01 to 5</t>
  </si>
  <si>
    <t>Medium</t>
  </si>
  <si>
    <t>5.01 to 7.98</t>
  </si>
  <si>
    <t>High</t>
  </si>
  <si>
    <t>7.99 to 9</t>
  </si>
  <si>
    <t>Very High</t>
  </si>
  <si>
    <t>9.01 to 10</t>
  </si>
  <si>
    <t>Inherent Risk Band: 7.99 – 9.00 → HIGH → Inherent Risk Score = 4</t>
  </si>
  <si>
    <t xml:space="preserve">Inherent Risk Band: </t>
  </si>
  <si>
    <t>Audit: IT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</si>
</sst>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Calibri"/>
      <family val="2"/>
    </font>
    <font>
      <b/>
      <sz val="10"/>
      <color rgb="FF333333"/>
      <name val="Calibri"/>
      <family val="2"/>
    </font>
    <font>
      <b/>
      <sz val="10"/>
      <color rgb="FFFFFFFF"/>
      <name val="Calibri"/>
      <family val="2"/>
    </font>
    <font>
      <sz val="10"/>
      <color rgb="FF333333"/>
      <name val="Calibri"/>
      <family val="2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9"/>
      <color rgb="FF000000"/>
      <name val="Cambria Math"/>
      <family val="1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9"/>
      <color rgb="FF000000"/>
      <name val="Verdana"/>
      <family val="2"/>
    </font>
    <font>
      <sz val="9"/>
      <color rgb="FFFFFFFF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B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BFBFBF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indexed="64"/>
      </top>
      <bottom/>
      <diagonal/>
    </border>
    <border>
      <left style="medium">
        <color rgb="FFBFBFBF"/>
      </left>
      <right style="medium">
        <color rgb="FFBFBFBF"/>
      </right>
      <top style="medium">
        <color indexed="64"/>
      </top>
      <bottom/>
      <diagonal/>
    </border>
    <border>
      <left/>
      <right style="medium">
        <color rgb="FFBFBFBF"/>
      </right>
      <top style="medium">
        <color indexed="64"/>
      </top>
      <bottom/>
      <diagonal/>
    </border>
    <border>
      <left style="medium">
        <color rgb="FFBFBFBF"/>
      </left>
      <right style="medium">
        <color indexed="64"/>
      </right>
      <top style="medium">
        <color indexed="64"/>
      </top>
      <bottom/>
      <diagonal/>
    </border>
    <border>
      <left style="medium">
        <color rgb="FFBFBFBF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5" fillId="3" borderId="27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9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 wrapText="1"/>
    </xf>
    <xf numFmtId="9" fontId="6" fillId="0" borderId="16" xfId="0" applyNumberFormat="1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9" fontId="6" fillId="2" borderId="16" xfId="0" applyNumberFormat="1" applyFont="1" applyFill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9" fontId="6" fillId="0" borderId="0" xfId="0" applyNumberFormat="1" applyFont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7" fillId="6" borderId="11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0" fontId="7" fillId="6" borderId="9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1" fillId="5" borderId="12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1" fillId="5" borderId="14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5" borderId="16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7" fillId="6" borderId="10" xfId="0" applyFont="1" applyFill="1" applyBorder="1" applyAlignment="1">
      <alignment horizontal="left" vertical="top" wrapText="1"/>
    </xf>
    <xf numFmtId="0" fontId="7" fillId="6" borderId="8" xfId="0" applyFont="1" applyFill="1" applyBorder="1" applyAlignment="1">
      <alignment horizontal="left" vertical="top" wrapText="1"/>
    </xf>
    <xf numFmtId="0" fontId="5" fillId="3" borderId="28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left" vertical="top" wrapText="1"/>
    </xf>
    <xf numFmtId="0" fontId="5" fillId="3" borderId="19" xfId="0" applyFont="1" applyFill="1" applyBorder="1" applyAlignment="1">
      <alignment horizontal="left" vertical="top" wrapText="1"/>
    </xf>
    <xf numFmtId="0" fontId="5" fillId="3" borderId="21" xfId="0" applyFont="1" applyFill="1" applyBorder="1" applyAlignment="1">
      <alignment horizontal="left" vertical="top" wrapText="1"/>
    </xf>
    <xf numFmtId="0" fontId="12" fillId="5" borderId="22" xfId="0" applyFont="1" applyFill="1" applyBorder="1" applyAlignment="1">
      <alignment horizontal="left" vertical="top" wrapText="1"/>
    </xf>
    <xf numFmtId="0" fontId="12" fillId="5" borderId="23" xfId="0" applyFont="1" applyFill="1" applyBorder="1" applyAlignment="1">
      <alignment horizontal="left" vertical="top" wrapText="1"/>
    </xf>
    <xf numFmtId="0" fontId="5" fillId="3" borderId="26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25" xfId="0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left" vertical="top" wrapText="1"/>
    </xf>
    <xf numFmtId="0" fontId="5" fillId="3" borderId="17" xfId="0" applyFont="1" applyFill="1" applyBorder="1" applyAlignment="1">
      <alignment horizontal="left" vertical="top" wrapText="1"/>
    </xf>
    <xf numFmtId="0" fontId="5" fillId="3" borderId="20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0" fontId="13" fillId="7" borderId="6" xfId="0" applyFont="1" applyFill="1" applyBorder="1" applyAlignment="1">
      <alignment horizontal="justify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justify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9" borderId="8" xfId="0" applyFont="1" applyFill="1" applyBorder="1" applyAlignment="1">
      <alignment horizontal="justify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justify" vertical="center" wrapText="1"/>
    </xf>
    <xf numFmtId="0" fontId="14" fillId="11" borderId="8" xfId="0" applyFont="1" applyFill="1" applyBorder="1" applyAlignment="1">
      <alignment horizontal="justify" vertical="center" wrapText="1"/>
    </xf>
    <xf numFmtId="0" fontId="14" fillId="12" borderId="8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9C40-C5D3-441C-AE82-D5ADAA5D191D}">
  <dimension ref="A1:K29"/>
  <sheetViews>
    <sheetView tabSelected="1" workbookViewId="0">
      <selection activeCell="B26" sqref="B26"/>
    </sheetView>
  </sheetViews>
  <sheetFormatPr defaultRowHeight="15" x14ac:dyDescent="0.25"/>
  <cols>
    <col min="1" max="1" width="27.85546875" style="1" customWidth="1"/>
    <col min="2" max="2" width="12.85546875" style="1" bestFit="1" customWidth="1"/>
    <col min="3" max="3" width="17.28515625" style="1" customWidth="1"/>
    <col min="4" max="5" width="9.140625" style="1"/>
    <col min="6" max="6" width="60.28515625" style="1" customWidth="1"/>
    <col min="7" max="8" width="9.140625" style="1"/>
    <col min="9" max="9" width="23.42578125" style="1" customWidth="1"/>
    <col min="10" max="10" width="34.7109375" style="1" customWidth="1"/>
    <col min="11" max="11" width="29.42578125" style="1" customWidth="1"/>
    <col min="12" max="16384" width="9.140625" style="1"/>
  </cols>
  <sheetData>
    <row r="1" spans="1:11" ht="15.75" thickBot="1" x14ac:dyDescent="0.3">
      <c r="A1" s="34" t="s">
        <v>0</v>
      </c>
      <c r="B1" s="35"/>
      <c r="C1" s="35"/>
      <c r="D1" s="35"/>
      <c r="E1" s="35"/>
      <c r="F1" s="36"/>
    </row>
    <row r="2" spans="1:11" ht="15.75" thickBot="1" x14ac:dyDescent="0.3">
      <c r="I2" s="2" t="s">
        <v>10</v>
      </c>
      <c r="J2" s="3" t="s">
        <v>15</v>
      </c>
      <c r="K2" s="3" t="s">
        <v>16</v>
      </c>
    </row>
    <row r="3" spans="1:11" ht="23.25" thickBot="1" x14ac:dyDescent="0.3">
      <c r="A3" s="23" t="s">
        <v>1</v>
      </c>
      <c r="I3" s="4" t="s">
        <v>17</v>
      </c>
      <c r="J3" s="5" t="s">
        <v>18</v>
      </c>
      <c r="K3" s="5">
        <v>2</v>
      </c>
    </row>
    <row r="4" spans="1:11" ht="26.25" thickBot="1" x14ac:dyDescent="0.3">
      <c r="A4" s="47" t="s">
        <v>8</v>
      </c>
      <c r="B4" s="45" t="s">
        <v>9</v>
      </c>
      <c r="C4" s="45" t="s">
        <v>10</v>
      </c>
      <c r="D4" s="6" t="s">
        <v>11</v>
      </c>
      <c r="E4" s="6" t="s">
        <v>13</v>
      </c>
      <c r="F4" s="39" t="s">
        <v>37</v>
      </c>
      <c r="I4" s="7" t="s">
        <v>19</v>
      </c>
      <c r="J4" s="8" t="s">
        <v>20</v>
      </c>
      <c r="K4" s="8">
        <v>4</v>
      </c>
    </row>
    <row r="5" spans="1:11" ht="15.75" thickBot="1" x14ac:dyDescent="0.3">
      <c r="A5" s="48"/>
      <c r="B5" s="46"/>
      <c r="C5" s="46"/>
      <c r="D5" s="9" t="s">
        <v>12</v>
      </c>
      <c r="E5" s="9" t="s">
        <v>14</v>
      </c>
      <c r="F5" s="40"/>
      <c r="I5" s="4" t="s">
        <v>21</v>
      </c>
      <c r="J5" s="5" t="s">
        <v>22</v>
      </c>
      <c r="K5" s="5">
        <v>6</v>
      </c>
    </row>
    <row r="6" spans="1:11" ht="23.25" thickBot="1" x14ac:dyDescent="0.3">
      <c r="A6" s="15" t="s">
        <v>2</v>
      </c>
      <c r="B6" s="10">
        <v>0.2</v>
      </c>
      <c r="C6" s="24">
        <v>4</v>
      </c>
      <c r="D6" s="24">
        <v>8</v>
      </c>
      <c r="E6" s="24">
        <f>D6*B6</f>
        <v>1.6</v>
      </c>
      <c r="F6" s="11" t="s">
        <v>47</v>
      </c>
      <c r="I6" s="7" t="s">
        <v>23</v>
      </c>
      <c r="J6" s="8" t="s">
        <v>24</v>
      </c>
      <c r="K6" s="8">
        <v>8</v>
      </c>
    </row>
    <row r="7" spans="1:11" ht="15.75" thickBot="1" x14ac:dyDescent="0.3">
      <c r="A7" s="12" t="s">
        <v>3</v>
      </c>
      <c r="B7" s="13">
        <v>0.1</v>
      </c>
      <c r="C7" s="24">
        <v>3</v>
      </c>
      <c r="D7" s="24">
        <v>6</v>
      </c>
      <c r="E7" s="24">
        <f t="shared" ref="E7:E10" si="0">D7*B7</f>
        <v>0.60000000000000009</v>
      </c>
      <c r="F7" s="14" t="s">
        <v>46</v>
      </c>
      <c r="I7" s="4" t="s">
        <v>25</v>
      </c>
      <c r="J7" s="5" t="s">
        <v>26</v>
      </c>
      <c r="K7" s="5">
        <v>10</v>
      </c>
    </row>
    <row r="8" spans="1:11" ht="25.5" x14ac:dyDescent="0.25">
      <c r="A8" s="15" t="s">
        <v>4</v>
      </c>
      <c r="B8" s="10">
        <v>0.25</v>
      </c>
      <c r="C8" s="24">
        <v>4</v>
      </c>
      <c r="D8" s="24">
        <v>8</v>
      </c>
      <c r="E8" s="24">
        <f t="shared" si="0"/>
        <v>2</v>
      </c>
      <c r="F8" s="14" t="s">
        <v>44</v>
      </c>
    </row>
    <row r="9" spans="1:11" x14ac:dyDescent="0.25">
      <c r="A9" s="12" t="s">
        <v>5</v>
      </c>
      <c r="B9" s="13">
        <v>0.3</v>
      </c>
      <c r="C9" s="24">
        <v>5</v>
      </c>
      <c r="D9" s="24">
        <v>10</v>
      </c>
      <c r="E9" s="24">
        <f t="shared" si="0"/>
        <v>3</v>
      </c>
      <c r="F9" s="14" t="s">
        <v>45</v>
      </c>
    </row>
    <row r="10" spans="1:11" ht="25.5" x14ac:dyDescent="0.25">
      <c r="A10" s="15" t="s">
        <v>6</v>
      </c>
      <c r="B10" s="10">
        <v>0.15</v>
      </c>
      <c r="C10" s="24">
        <v>4</v>
      </c>
      <c r="D10" s="24">
        <v>8</v>
      </c>
      <c r="E10" s="24">
        <f t="shared" si="0"/>
        <v>1.2</v>
      </c>
      <c r="F10" s="14" t="s">
        <v>48</v>
      </c>
    </row>
    <row r="11" spans="1:11" ht="15.75" thickBot="1" x14ac:dyDescent="0.3">
      <c r="A11" s="43" t="s">
        <v>38</v>
      </c>
      <c r="B11" s="44"/>
      <c r="C11" s="44"/>
      <c r="D11" s="44"/>
      <c r="E11" s="25">
        <f>SUM(E6:E10)</f>
        <v>8.4</v>
      </c>
      <c r="F11" s="16"/>
    </row>
    <row r="12" spans="1:11" x14ac:dyDescent="0.25">
      <c r="A12" s="17"/>
      <c r="B12" s="18"/>
    </row>
    <row r="13" spans="1:11" ht="15.75" thickBot="1" x14ac:dyDescent="0.3"/>
    <row r="14" spans="1:11" ht="15.75" thickBot="1" x14ac:dyDescent="0.3">
      <c r="A14" s="23" t="s">
        <v>7</v>
      </c>
    </row>
    <row r="15" spans="1:11" ht="25.5" x14ac:dyDescent="0.25">
      <c r="A15" s="49" t="s">
        <v>8</v>
      </c>
      <c r="B15" s="51" t="s">
        <v>9</v>
      </c>
      <c r="C15" s="51" t="s">
        <v>10</v>
      </c>
      <c r="D15" s="19" t="s">
        <v>11</v>
      </c>
      <c r="E15" s="19" t="s">
        <v>13</v>
      </c>
      <c r="F15" s="41" t="s">
        <v>37</v>
      </c>
      <c r="I15" s="37" t="s">
        <v>10</v>
      </c>
      <c r="J15" s="37" t="s">
        <v>15</v>
      </c>
      <c r="K15" s="20" t="s">
        <v>27</v>
      </c>
    </row>
    <row r="16" spans="1:11" ht="15.75" thickBot="1" x14ac:dyDescent="0.3">
      <c r="A16" s="50"/>
      <c r="B16" s="52"/>
      <c r="C16" s="52"/>
      <c r="D16" s="21" t="s">
        <v>12</v>
      </c>
      <c r="E16" s="21" t="s">
        <v>14</v>
      </c>
      <c r="F16" s="42"/>
      <c r="I16" s="38"/>
      <c r="J16" s="38"/>
      <c r="K16" s="22" t="s">
        <v>12</v>
      </c>
    </row>
    <row r="17" spans="1:11" ht="30.75" thickBot="1" x14ac:dyDescent="0.3">
      <c r="A17" s="15" t="s">
        <v>2</v>
      </c>
      <c r="B17" s="10">
        <v>0.2</v>
      </c>
      <c r="C17" s="24">
        <v>4</v>
      </c>
      <c r="D17" s="24">
        <v>8</v>
      </c>
      <c r="E17" s="24">
        <f>D17*B17</f>
        <v>1.6</v>
      </c>
      <c r="F17" s="14" t="s">
        <v>49</v>
      </c>
      <c r="I17" s="4" t="s">
        <v>28</v>
      </c>
      <c r="J17" s="5" t="s">
        <v>29</v>
      </c>
      <c r="K17" s="5">
        <v>2</v>
      </c>
    </row>
    <row r="18" spans="1:11" ht="30.75" thickBot="1" x14ac:dyDescent="0.3">
      <c r="A18" s="12" t="s">
        <v>3</v>
      </c>
      <c r="B18" s="13">
        <v>0.1</v>
      </c>
      <c r="C18" s="24">
        <v>4</v>
      </c>
      <c r="D18" s="24">
        <v>8</v>
      </c>
      <c r="E18" s="24">
        <f t="shared" ref="E18:E21" si="1">D18*B18</f>
        <v>0.8</v>
      </c>
      <c r="F18" s="14" t="s">
        <v>50</v>
      </c>
      <c r="I18" s="7" t="s">
        <v>30</v>
      </c>
      <c r="J18" s="8" t="s">
        <v>31</v>
      </c>
      <c r="K18" s="8">
        <v>4</v>
      </c>
    </row>
    <row r="19" spans="1:11" ht="45.75" thickBot="1" x14ac:dyDescent="0.3">
      <c r="A19" s="15" t="s">
        <v>4</v>
      </c>
      <c r="B19" s="10">
        <v>0.25</v>
      </c>
      <c r="C19" s="24">
        <v>4</v>
      </c>
      <c r="D19" s="24">
        <v>8</v>
      </c>
      <c r="E19" s="24">
        <f t="shared" si="1"/>
        <v>2</v>
      </c>
      <c r="F19" s="14" t="s">
        <v>51</v>
      </c>
      <c r="I19" s="4" t="s">
        <v>32</v>
      </c>
      <c r="J19" s="5" t="s">
        <v>33</v>
      </c>
      <c r="K19" s="5">
        <v>6</v>
      </c>
    </row>
    <row r="20" spans="1:11" ht="81.75" thickBot="1" x14ac:dyDescent="0.3">
      <c r="A20" s="12" t="s">
        <v>5</v>
      </c>
      <c r="B20" s="13">
        <v>0.3</v>
      </c>
      <c r="C20" s="24">
        <v>5</v>
      </c>
      <c r="D20" s="24">
        <v>10</v>
      </c>
      <c r="E20" s="24">
        <f t="shared" si="1"/>
        <v>3</v>
      </c>
      <c r="F20" s="14" t="s">
        <v>53</v>
      </c>
      <c r="I20" s="7" t="s">
        <v>34</v>
      </c>
      <c r="J20" s="8" t="s">
        <v>54</v>
      </c>
      <c r="K20" s="8">
        <v>8</v>
      </c>
    </row>
    <row r="21" spans="1:11" ht="45.75" thickBot="1" x14ac:dyDescent="0.3">
      <c r="A21" s="15" t="s">
        <v>6</v>
      </c>
      <c r="B21" s="10">
        <v>0.15</v>
      </c>
      <c r="C21" s="24">
        <v>5</v>
      </c>
      <c r="D21" s="24">
        <v>10</v>
      </c>
      <c r="E21" s="24">
        <f t="shared" si="1"/>
        <v>1.5</v>
      </c>
      <c r="F21" s="14" t="s">
        <v>52</v>
      </c>
      <c r="I21" s="4" t="s">
        <v>35</v>
      </c>
      <c r="J21" s="5" t="s">
        <v>36</v>
      </c>
      <c r="K21" s="5">
        <v>10</v>
      </c>
    </row>
    <row r="22" spans="1:11" ht="15.75" thickBot="1" x14ac:dyDescent="0.3">
      <c r="A22" s="30" t="s">
        <v>38</v>
      </c>
      <c r="B22" s="30"/>
      <c r="C22" s="30"/>
      <c r="D22" s="30"/>
      <c r="E22" s="25">
        <f>SUM(E17:E21)</f>
        <v>8.9</v>
      </c>
      <c r="F22" s="16"/>
    </row>
    <row r="23" spans="1:11" ht="15.75" thickBot="1" x14ac:dyDescent="0.3"/>
    <row r="24" spans="1:11" ht="15.75" thickBot="1" x14ac:dyDescent="0.3">
      <c r="A24" s="23" t="s">
        <v>40</v>
      </c>
      <c r="I24" s="53" t="s">
        <v>66</v>
      </c>
      <c r="J24" s="54" t="s">
        <v>67</v>
      </c>
      <c r="K24" s="54" t="s">
        <v>68</v>
      </c>
    </row>
    <row r="25" spans="1:11" ht="15.75" thickBot="1" x14ac:dyDescent="0.3">
      <c r="A25" s="26" t="s">
        <v>39</v>
      </c>
      <c r="B25" s="27">
        <f>(E22+E11)/2</f>
        <v>8.65</v>
      </c>
      <c r="I25" s="55" t="s">
        <v>69</v>
      </c>
      <c r="J25" s="56" t="s">
        <v>70</v>
      </c>
      <c r="K25" s="56">
        <v>1</v>
      </c>
    </row>
    <row r="26" spans="1:11" ht="45.75" thickBot="1" x14ac:dyDescent="0.3">
      <c r="A26" s="28" t="s">
        <v>79</v>
      </c>
      <c r="B26" s="27">
        <v>4</v>
      </c>
      <c r="I26" s="57" t="s">
        <v>71</v>
      </c>
      <c r="J26" s="58" t="s">
        <v>72</v>
      </c>
      <c r="K26" s="58">
        <v>2</v>
      </c>
    </row>
    <row r="27" spans="1:11" ht="30.75" thickBot="1" x14ac:dyDescent="0.3">
      <c r="A27" s="28" t="s">
        <v>41</v>
      </c>
      <c r="B27" s="27">
        <v>2</v>
      </c>
      <c r="C27" s="1" t="s">
        <v>43</v>
      </c>
      <c r="I27" s="59" t="s">
        <v>73</v>
      </c>
      <c r="J27" s="56" t="s">
        <v>74</v>
      </c>
      <c r="K27" s="56">
        <v>3</v>
      </c>
    </row>
    <row r="28" spans="1:11" ht="15.75" thickBot="1" x14ac:dyDescent="0.3">
      <c r="A28" s="28" t="s">
        <v>42</v>
      </c>
      <c r="B28" s="29">
        <f>B26*B27</f>
        <v>8</v>
      </c>
      <c r="I28" s="60" t="s">
        <v>75</v>
      </c>
      <c r="J28" s="58" t="s">
        <v>76</v>
      </c>
      <c r="K28" s="58">
        <v>4</v>
      </c>
    </row>
    <row r="29" spans="1:11" ht="15.75" thickBot="1" x14ac:dyDescent="0.3">
      <c r="A29" s="31"/>
      <c r="B29" s="32"/>
      <c r="C29" s="32"/>
      <c r="D29" s="32"/>
      <c r="E29" s="33"/>
      <c r="I29" s="61" t="s">
        <v>77</v>
      </c>
      <c r="J29" s="56" t="s">
        <v>78</v>
      </c>
      <c r="K29" s="56">
        <v>5</v>
      </c>
    </row>
  </sheetData>
  <mergeCells count="14">
    <mergeCell ref="A22:D22"/>
    <mergeCell ref="A29:E29"/>
    <mergeCell ref="A1:F1"/>
    <mergeCell ref="I15:I16"/>
    <mergeCell ref="J15:J16"/>
    <mergeCell ref="F4:F5"/>
    <mergeCell ref="F15:F16"/>
    <mergeCell ref="A11:D11"/>
    <mergeCell ref="B4:B5"/>
    <mergeCell ref="C4:C5"/>
    <mergeCell ref="A4:A5"/>
    <mergeCell ref="A15:A16"/>
    <mergeCell ref="B15:B16"/>
    <mergeCell ref="C15:C16"/>
  </mergeCells>
  <pageMargins left="0.7" right="0.7" top="0.75" bottom="0.75" header="0.3" footer="0.3"/>
  <headerFooter>
    <oddFooter>&amp;L_x000D_&amp;1#&amp;"Calibri"&amp;8&amp;KFF0000 Classification: RAKBANK-Internal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7428-4A8A-40F5-AE1A-CC64FB6A733C}">
  <dimension ref="A1:K29"/>
  <sheetViews>
    <sheetView topLeftCell="A10" workbookViewId="0">
      <selection activeCell="B27" sqref="B27"/>
    </sheetView>
  </sheetViews>
  <sheetFormatPr defaultRowHeight="15" x14ac:dyDescent="0.25"/>
  <cols>
    <col min="1" max="1" width="27.85546875" style="1" customWidth="1"/>
    <col min="2" max="2" width="12.85546875" style="1" bestFit="1" customWidth="1"/>
    <col min="3" max="3" width="17.28515625" style="1" customWidth="1"/>
    <col min="4" max="5" width="9.140625" style="1"/>
    <col min="6" max="6" width="60.28515625" style="1" customWidth="1"/>
    <col min="7" max="8" width="9.140625" style="1"/>
    <col min="9" max="9" width="23.42578125" style="1" customWidth="1"/>
    <col min="10" max="10" width="34.7109375" style="1" customWidth="1"/>
    <col min="11" max="11" width="29.42578125" style="1" customWidth="1"/>
    <col min="12" max="16384" width="9.140625" style="1"/>
  </cols>
  <sheetData>
    <row r="1" spans="1:11" ht="15.75" thickBot="1" x14ac:dyDescent="0.3">
      <c r="A1" s="34" t="s">
        <v>55</v>
      </c>
      <c r="B1" s="35"/>
      <c r="C1" s="35"/>
      <c r="D1" s="35"/>
      <c r="E1" s="35"/>
      <c r="F1" s="36"/>
    </row>
    <row r="2" spans="1:11" ht="15.75" thickBot="1" x14ac:dyDescent="0.3">
      <c r="I2" s="2" t="s">
        <v>10</v>
      </c>
      <c r="J2" s="3" t="s">
        <v>15</v>
      </c>
      <c r="K2" s="3" t="s">
        <v>16</v>
      </c>
    </row>
    <row r="3" spans="1:11" ht="23.25" thickBot="1" x14ac:dyDescent="0.3">
      <c r="A3" s="23" t="s">
        <v>1</v>
      </c>
      <c r="I3" s="4" t="s">
        <v>17</v>
      </c>
      <c r="J3" s="5" t="s">
        <v>18</v>
      </c>
      <c r="K3" s="5">
        <v>2</v>
      </c>
    </row>
    <row r="4" spans="1:11" ht="26.25" thickBot="1" x14ac:dyDescent="0.3">
      <c r="A4" s="47" t="s">
        <v>8</v>
      </c>
      <c r="B4" s="45" t="s">
        <v>9</v>
      </c>
      <c r="C4" s="45" t="s">
        <v>10</v>
      </c>
      <c r="D4" s="6" t="s">
        <v>11</v>
      </c>
      <c r="E4" s="6" t="s">
        <v>13</v>
      </c>
      <c r="F4" s="39" t="s">
        <v>37</v>
      </c>
      <c r="I4" s="7" t="s">
        <v>19</v>
      </c>
      <c r="J4" s="8" t="s">
        <v>20</v>
      </c>
      <c r="K4" s="8">
        <v>4</v>
      </c>
    </row>
    <row r="5" spans="1:11" ht="15.75" thickBot="1" x14ac:dyDescent="0.3">
      <c r="A5" s="48"/>
      <c r="B5" s="46"/>
      <c r="C5" s="46"/>
      <c r="D5" s="9" t="s">
        <v>12</v>
      </c>
      <c r="E5" s="9" t="s">
        <v>14</v>
      </c>
      <c r="F5" s="40"/>
      <c r="I5" s="4" t="s">
        <v>21</v>
      </c>
      <c r="J5" s="5" t="s">
        <v>22</v>
      </c>
      <c r="K5" s="5">
        <v>6</v>
      </c>
    </row>
    <row r="6" spans="1:11" ht="34.5" thickBot="1" x14ac:dyDescent="0.3">
      <c r="A6" s="15" t="s">
        <v>2</v>
      </c>
      <c r="B6" s="10">
        <v>0.2</v>
      </c>
      <c r="C6" s="24">
        <v>3</v>
      </c>
      <c r="D6" s="24">
        <v>6</v>
      </c>
      <c r="E6" s="24">
        <f>D6*B6</f>
        <v>1.2000000000000002</v>
      </c>
      <c r="F6" s="11" t="s">
        <v>56</v>
      </c>
      <c r="I6" s="7" t="s">
        <v>23</v>
      </c>
      <c r="J6" s="8" t="s">
        <v>24</v>
      </c>
      <c r="K6" s="8">
        <v>8</v>
      </c>
    </row>
    <row r="7" spans="1:11" ht="45.75" thickBot="1" x14ac:dyDescent="0.3">
      <c r="A7" s="12" t="s">
        <v>3</v>
      </c>
      <c r="B7" s="13">
        <v>0.25</v>
      </c>
      <c r="C7" s="24">
        <v>2</v>
      </c>
      <c r="D7" s="24">
        <v>4</v>
      </c>
      <c r="E7" s="24">
        <f t="shared" ref="E7:E10" si="0">D7*B7</f>
        <v>1</v>
      </c>
      <c r="F7" s="14" t="s">
        <v>57</v>
      </c>
      <c r="I7" s="4" t="s">
        <v>25</v>
      </c>
      <c r="J7" s="5" t="s">
        <v>26</v>
      </c>
      <c r="K7" s="5">
        <v>10</v>
      </c>
    </row>
    <row r="8" spans="1:11" ht="45" x14ac:dyDescent="0.25">
      <c r="A8" s="15" t="s">
        <v>4</v>
      </c>
      <c r="B8" s="10">
        <v>0.1</v>
      </c>
      <c r="C8" s="24">
        <v>2</v>
      </c>
      <c r="D8" s="24">
        <v>4</v>
      </c>
      <c r="E8" s="24">
        <f t="shared" si="0"/>
        <v>0.4</v>
      </c>
      <c r="F8" s="14" t="s">
        <v>58</v>
      </c>
    </row>
    <row r="9" spans="1:11" ht="45" x14ac:dyDescent="0.25">
      <c r="A9" s="12" t="s">
        <v>5</v>
      </c>
      <c r="B9" s="13">
        <v>0.3</v>
      </c>
      <c r="C9" s="24">
        <v>5</v>
      </c>
      <c r="D9" s="24">
        <v>10</v>
      </c>
      <c r="E9" s="24">
        <f t="shared" si="0"/>
        <v>3</v>
      </c>
      <c r="F9" s="14" t="s">
        <v>59</v>
      </c>
    </row>
    <row r="10" spans="1:11" ht="30" x14ac:dyDescent="0.25">
      <c r="A10" s="15" t="s">
        <v>6</v>
      </c>
      <c r="B10" s="10">
        <v>0.15</v>
      </c>
      <c r="C10" s="24">
        <v>5</v>
      </c>
      <c r="D10" s="24">
        <v>10</v>
      </c>
      <c r="E10" s="24">
        <f t="shared" si="0"/>
        <v>1.5</v>
      </c>
      <c r="F10" s="14" t="s">
        <v>60</v>
      </c>
    </row>
    <row r="11" spans="1:11" ht="15.75" thickBot="1" x14ac:dyDescent="0.3">
      <c r="A11" s="43" t="s">
        <v>38</v>
      </c>
      <c r="B11" s="44"/>
      <c r="C11" s="44"/>
      <c r="D11" s="44"/>
      <c r="E11" s="25">
        <f>SUM(E6:E10)</f>
        <v>7.1</v>
      </c>
      <c r="F11" s="16"/>
    </row>
    <row r="12" spans="1:11" x14ac:dyDescent="0.25">
      <c r="A12" s="17"/>
      <c r="B12" s="18"/>
    </row>
    <row r="13" spans="1:11" ht="15.75" thickBot="1" x14ac:dyDescent="0.3"/>
    <row r="14" spans="1:11" ht="15.75" thickBot="1" x14ac:dyDescent="0.3">
      <c r="A14" s="23" t="s">
        <v>7</v>
      </c>
    </row>
    <row r="15" spans="1:11" ht="25.5" x14ac:dyDescent="0.25">
      <c r="A15" s="49" t="s">
        <v>8</v>
      </c>
      <c r="B15" s="51" t="s">
        <v>9</v>
      </c>
      <c r="C15" s="51" t="s">
        <v>10</v>
      </c>
      <c r="D15" s="19" t="s">
        <v>11</v>
      </c>
      <c r="E15" s="19" t="s">
        <v>13</v>
      </c>
      <c r="F15" s="41" t="s">
        <v>37</v>
      </c>
      <c r="I15" s="37" t="s">
        <v>10</v>
      </c>
      <c r="J15" s="37" t="s">
        <v>15</v>
      </c>
      <c r="K15" s="20" t="s">
        <v>27</v>
      </c>
    </row>
    <row r="16" spans="1:11" ht="15.75" thickBot="1" x14ac:dyDescent="0.3">
      <c r="A16" s="50"/>
      <c r="B16" s="52"/>
      <c r="C16" s="52"/>
      <c r="D16" s="21" t="s">
        <v>12</v>
      </c>
      <c r="E16" s="21" t="s">
        <v>14</v>
      </c>
      <c r="F16" s="42"/>
      <c r="I16" s="38"/>
      <c r="J16" s="38"/>
      <c r="K16" s="22" t="s">
        <v>12</v>
      </c>
    </row>
    <row r="17" spans="1:11" ht="45.75" thickBot="1" x14ac:dyDescent="0.3">
      <c r="A17" s="15" t="s">
        <v>2</v>
      </c>
      <c r="B17" s="10">
        <v>0.2</v>
      </c>
      <c r="C17" s="24">
        <v>4</v>
      </c>
      <c r="D17" s="24">
        <v>8</v>
      </c>
      <c r="E17" s="24">
        <f>D17*B17</f>
        <v>1.6</v>
      </c>
      <c r="F17" s="14" t="s">
        <v>61</v>
      </c>
      <c r="I17" s="4" t="s">
        <v>28</v>
      </c>
      <c r="J17" s="5" t="s">
        <v>29</v>
      </c>
      <c r="K17" s="5">
        <v>2</v>
      </c>
    </row>
    <row r="18" spans="1:11" ht="45.75" thickBot="1" x14ac:dyDescent="0.3">
      <c r="A18" s="12" t="s">
        <v>3</v>
      </c>
      <c r="B18" s="13">
        <v>0.25</v>
      </c>
      <c r="C18" s="24">
        <v>2</v>
      </c>
      <c r="D18" s="24">
        <v>4</v>
      </c>
      <c r="E18" s="24">
        <f t="shared" ref="E18:E21" si="1">D18*B18</f>
        <v>1</v>
      </c>
      <c r="F18" s="14" t="s">
        <v>62</v>
      </c>
      <c r="I18" s="7" t="s">
        <v>30</v>
      </c>
      <c r="J18" s="8" t="s">
        <v>31</v>
      </c>
      <c r="K18" s="8">
        <v>4</v>
      </c>
    </row>
    <row r="19" spans="1:11" ht="30.75" thickBot="1" x14ac:dyDescent="0.3">
      <c r="A19" s="15" t="s">
        <v>4</v>
      </c>
      <c r="B19" s="10">
        <v>0.1</v>
      </c>
      <c r="C19" s="24">
        <v>2</v>
      </c>
      <c r="D19" s="24">
        <v>4</v>
      </c>
      <c r="E19" s="24">
        <f t="shared" si="1"/>
        <v>0.4</v>
      </c>
      <c r="F19" s="14" t="s">
        <v>63</v>
      </c>
      <c r="I19" s="4" t="s">
        <v>32</v>
      </c>
      <c r="J19" s="5" t="s">
        <v>33</v>
      </c>
      <c r="K19" s="5">
        <v>6</v>
      </c>
    </row>
    <row r="20" spans="1:11" ht="81.75" thickBot="1" x14ac:dyDescent="0.3">
      <c r="A20" s="12" t="s">
        <v>5</v>
      </c>
      <c r="B20" s="13">
        <v>0.3</v>
      </c>
      <c r="C20" s="24">
        <v>5</v>
      </c>
      <c r="D20" s="24">
        <v>10</v>
      </c>
      <c r="E20" s="24">
        <f t="shared" si="1"/>
        <v>3</v>
      </c>
      <c r="F20" s="14" t="s">
        <v>65</v>
      </c>
      <c r="I20" s="7" t="s">
        <v>34</v>
      </c>
      <c r="J20" s="8" t="s">
        <v>54</v>
      </c>
      <c r="K20" s="8">
        <v>8</v>
      </c>
    </row>
    <row r="21" spans="1:11" ht="45.75" thickBot="1" x14ac:dyDescent="0.3">
      <c r="A21" s="15" t="s">
        <v>6</v>
      </c>
      <c r="B21" s="10">
        <v>0.15</v>
      </c>
      <c r="C21" s="24">
        <v>5</v>
      </c>
      <c r="D21" s="24">
        <v>10</v>
      </c>
      <c r="E21" s="24">
        <f t="shared" si="1"/>
        <v>1.5</v>
      </c>
      <c r="F21" s="14" t="s">
        <v>64</v>
      </c>
      <c r="I21" s="4" t="s">
        <v>35</v>
      </c>
      <c r="J21" s="5" t="s">
        <v>36</v>
      </c>
      <c r="K21" s="5">
        <v>10</v>
      </c>
    </row>
    <row r="22" spans="1:11" ht="15.75" thickBot="1" x14ac:dyDescent="0.3">
      <c r="A22" s="30" t="s">
        <v>38</v>
      </c>
      <c r="B22" s="30"/>
      <c r="C22" s="30"/>
      <c r="D22" s="30"/>
      <c r="E22" s="25">
        <f>SUM(E17:E21)</f>
        <v>7.5</v>
      </c>
      <c r="F22" s="16"/>
    </row>
    <row r="23" spans="1:11" ht="15.75" thickBot="1" x14ac:dyDescent="0.3"/>
    <row r="24" spans="1:11" ht="15.75" thickBot="1" x14ac:dyDescent="0.3">
      <c r="A24" s="23" t="s">
        <v>40</v>
      </c>
      <c r="I24" s="53" t="s">
        <v>66</v>
      </c>
      <c r="J24" s="54" t="s">
        <v>67</v>
      </c>
      <c r="K24" s="54" t="s">
        <v>68</v>
      </c>
    </row>
    <row r="25" spans="1:11" ht="15.75" thickBot="1" x14ac:dyDescent="0.3">
      <c r="A25" s="26" t="s">
        <v>39</v>
      </c>
      <c r="B25" s="27">
        <f>(E22+E11)/2</f>
        <v>7.3</v>
      </c>
      <c r="I25" s="55" t="s">
        <v>69</v>
      </c>
      <c r="J25" s="56" t="s">
        <v>70</v>
      </c>
      <c r="K25" s="56">
        <v>1</v>
      </c>
    </row>
    <row r="26" spans="1:11" ht="15.75" thickBot="1" x14ac:dyDescent="0.3">
      <c r="A26" s="28" t="s">
        <v>80</v>
      </c>
      <c r="B26" s="27">
        <v>3</v>
      </c>
      <c r="I26" s="57" t="s">
        <v>71</v>
      </c>
      <c r="J26" s="58" t="s">
        <v>72</v>
      </c>
      <c r="K26" s="58">
        <v>2</v>
      </c>
    </row>
    <row r="27" spans="1:11" ht="30.75" thickBot="1" x14ac:dyDescent="0.3">
      <c r="A27" s="28" t="s">
        <v>41</v>
      </c>
      <c r="B27" s="27">
        <v>3</v>
      </c>
      <c r="C27" s="1" t="s">
        <v>43</v>
      </c>
      <c r="I27" s="59" t="s">
        <v>73</v>
      </c>
      <c r="J27" s="56" t="s">
        <v>74</v>
      </c>
      <c r="K27" s="56">
        <v>3</v>
      </c>
    </row>
    <row r="28" spans="1:11" ht="15.75" thickBot="1" x14ac:dyDescent="0.3">
      <c r="A28" s="28" t="s">
        <v>42</v>
      </c>
      <c r="B28" s="29">
        <f>B26*B27</f>
        <v>9</v>
      </c>
      <c r="I28" s="60" t="s">
        <v>75</v>
      </c>
      <c r="J28" s="58" t="s">
        <v>76</v>
      </c>
      <c r="K28" s="58">
        <v>4</v>
      </c>
    </row>
    <row r="29" spans="1:11" ht="15.75" thickBot="1" x14ac:dyDescent="0.3">
      <c r="I29" s="61" t="s">
        <v>77</v>
      </c>
      <c r="J29" s="56" t="s">
        <v>78</v>
      </c>
      <c r="K29" s="56">
        <v>5</v>
      </c>
    </row>
  </sheetData>
  <mergeCells count="13">
    <mergeCell ref="F15:F16"/>
    <mergeCell ref="I15:I16"/>
    <mergeCell ref="J15:J16"/>
    <mergeCell ref="A1:F1"/>
    <mergeCell ref="A4:A5"/>
    <mergeCell ref="B4:B5"/>
    <mergeCell ref="C4:C5"/>
    <mergeCell ref="F4:F5"/>
    <mergeCell ref="A11:D11"/>
    <mergeCell ref="A22:D22"/>
    <mergeCell ref="A15:A16"/>
    <mergeCell ref="B15:B16"/>
    <mergeCell ref="C15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3A1D-172C-4B5A-A13F-8228E574F062}">
  <dimension ref="A1:K29"/>
  <sheetViews>
    <sheetView workbookViewId="0">
      <selection activeCell="F22" sqref="F22"/>
    </sheetView>
  </sheetViews>
  <sheetFormatPr defaultRowHeight="15" x14ac:dyDescent="0.25"/>
  <cols>
    <col min="1" max="1" width="27.85546875" style="1" customWidth="1"/>
    <col min="2" max="2" width="12.85546875" style="1" bestFit="1" customWidth="1"/>
    <col min="3" max="3" width="17.28515625" style="1" customWidth="1"/>
    <col min="4" max="5" width="9.140625" style="1"/>
    <col min="6" max="6" width="60.28515625" style="1" customWidth="1"/>
    <col min="7" max="8" width="9.140625" style="1"/>
    <col min="9" max="9" width="23.42578125" style="1" customWidth="1"/>
    <col min="10" max="10" width="34.7109375" style="1" customWidth="1"/>
    <col min="11" max="11" width="29.42578125" style="1" customWidth="1"/>
    <col min="12" max="16384" width="9.140625" style="1"/>
  </cols>
  <sheetData>
    <row r="1" spans="1:11" ht="15.75" thickBot="1" x14ac:dyDescent="0.3">
      <c r="A1" s="34" t="s">
        <v>81</v>
      </c>
      <c r="B1" s="35"/>
      <c r="C1" s="35"/>
      <c r="D1" s="35"/>
      <c r="E1" s="35"/>
      <c r="F1" s="36"/>
    </row>
    <row r="2" spans="1:11" ht="15.75" thickBot="1" x14ac:dyDescent="0.3">
      <c r="I2" s="2" t="s">
        <v>10</v>
      </c>
      <c r="J2" s="3" t="s">
        <v>15</v>
      </c>
      <c r="K2" s="3" t="s">
        <v>16</v>
      </c>
    </row>
    <row r="3" spans="1:11" ht="23.25" thickBot="1" x14ac:dyDescent="0.3">
      <c r="A3" s="23" t="s">
        <v>1</v>
      </c>
      <c r="I3" s="4" t="s">
        <v>17</v>
      </c>
      <c r="J3" s="5" t="s">
        <v>18</v>
      </c>
      <c r="K3" s="5">
        <v>2</v>
      </c>
    </row>
    <row r="4" spans="1:11" ht="26.25" thickBot="1" x14ac:dyDescent="0.3">
      <c r="A4" s="47" t="s">
        <v>8</v>
      </c>
      <c r="B4" s="45" t="s">
        <v>9</v>
      </c>
      <c r="C4" s="45" t="s">
        <v>10</v>
      </c>
      <c r="D4" s="6" t="s">
        <v>11</v>
      </c>
      <c r="E4" s="6" t="s">
        <v>13</v>
      </c>
      <c r="F4" s="39" t="s">
        <v>37</v>
      </c>
      <c r="I4" s="7" t="s">
        <v>19</v>
      </c>
      <c r="J4" s="8" t="s">
        <v>20</v>
      </c>
      <c r="K4" s="8">
        <v>4</v>
      </c>
    </row>
    <row r="5" spans="1:11" ht="15.75" thickBot="1" x14ac:dyDescent="0.3">
      <c r="A5" s="48"/>
      <c r="B5" s="46"/>
      <c r="C5" s="46"/>
      <c r="D5" s="9" t="s">
        <v>12</v>
      </c>
      <c r="E5" s="9" t="s">
        <v>14</v>
      </c>
      <c r="F5" s="40"/>
      <c r="I5" s="4" t="s">
        <v>21</v>
      </c>
      <c r="J5" s="5" t="s">
        <v>22</v>
      </c>
      <c r="K5" s="5">
        <v>6</v>
      </c>
    </row>
    <row r="6" spans="1:11" ht="23.25" thickBot="1" x14ac:dyDescent="0.3">
      <c r="A6" s="15" t="s">
        <v>2</v>
      </c>
      <c r="B6" s="10">
        <v>0.2</v>
      </c>
      <c r="C6" s="24">
        <v>4</v>
      </c>
      <c r="D6" s="24">
        <v>8</v>
      </c>
      <c r="E6" s="24">
        <f>D6*B6</f>
        <v>1.6</v>
      </c>
      <c r="F6" s="11"/>
      <c r="I6" s="7" t="s">
        <v>23</v>
      </c>
      <c r="J6" s="8" t="s">
        <v>24</v>
      </c>
      <c r="K6" s="8">
        <v>8</v>
      </c>
    </row>
    <row r="7" spans="1:11" ht="15.75" thickBot="1" x14ac:dyDescent="0.3">
      <c r="A7" s="12" t="s">
        <v>3</v>
      </c>
      <c r="B7" s="13">
        <v>0.25</v>
      </c>
      <c r="C7" s="24">
        <v>2</v>
      </c>
      <c r="D7" s="24">
        <v>4</v>
      </c>
      <c r="E7" s="24">
        <f t="shared" ref="E7:E10" si="0">D7*B7</f>
        <v>1</v>
      </c>
      <c r="F7" s="14"/>
      <c r="I7" s="4" t="s">
        <v>25</v>
      </c>
      <c r="J7" s="5" t="s">
        <v>26</v>
      </c>
      <c r="K7" s="5">
        <v>10</v>
      </c>
    </row>
    <row r="8" spans="1:11" ht="25.5" x14ac:dyDescent="0.25">
      <c r="A8" s="15" t="s">
        <v>4</v>
      </c>
      <c r="B8" s="10">
        <v>0.1</v>
      </c>
      <c r="C8" s="24">
        <v>4</v>
      </c>
      <c r="D8" s="24">
        <v>8</v>
      </c>
      <c r="E8" s="24">
        <f t="shared" si="0"/>
        <v>0.8</v>
      </c>
      <c r="F8" s="14"/>
    </row>
    <row r="9" spans="1:11" x14ac:dyDescent="0.25">
      <c r="A9" s="12" t="s">
        <v>5</v>
      </c>
      <c r="B9" s="13">
        <v>0.3</v>
      </c>
      <c r="C9" s="24">
        <v>4</v>
      </c>
      <c r="D9" s="24">
        <v>8</v>
      </c>
      <c r="E9" s="24">
        <f t="shared" si="0"/>
        <v>2.4</v>
      </c>
      <c r="F9" s="14"/>
    </row>
    <row r="10" spans="1:11" ht="25.5" x14ac:dyDescent="0.25">
      <c r="A10" s="15" t="s">
        <v>6</v>
      </c>
      <c r="B10" s="10">
        <v>0.15</v>
      </c>
      <c r="C10" s="24">
        <v>5</v>
      </c>
      <c r="D10" s="24">
        <v>10</v>
      </c>
      <c r="E10" s="24">
        <f t="shared" si="0"/>
        <v>1.5</v>
      </c>
      <c r="F10" s="14"/>
    </row>
    <row r="11" spans="1:11" ht="15.75" thickBot="1" x14ac:dyDescent="0.3">
      <c r="A11" s="43" t="s">
        <v>38</v>
      </c>
      <c r="B11" s="44"/>
      <c r="C11" s="44"/>
      <c r="D11" s="44"/>
      <c r="E11" s="25">
        <f>SUM(E6:E10)</f>
        <v>7.3000000000000007</v>
      </c>
      <c r="F11" s="16"/>
    </row>
    <row r="12" spans="1:11" x14ac:dyDescent="0.25">
      <c r="A12" s="17"/>
      <c r="B12" s="18"/>
    </row>
    <row r="13" spans="1:11" ht="15.75" thickBot="1" x14ac:dyDescent="0.3"/>
    <row r="14" spans="1:11" ht="15.75" thickBot="1" x14ac:dyDescent="0.3">
      <c r="A14" s="23" t="s">
        <v>7</v>
      </c>
    </row>
    <row r="15" spans="1:11" ht="25.5" x14ac:dyDescent="0.25">
      <c r="A15" s="49" t="s">
        <v>8</v>
      </c>
      <c r="B15" s="51" t="s">
        <v>9</v>
      </c>
      <c r="C15" s="51" t="s">
        <v>10</v>
      </c>
      <c r="D15" s="19" t="s">
        <v>11</v>
      </c>
      <c r="E15" s="19" t="s">
        <v>13</v>
      </c>
      <c r="F15" s="41" t="s">
        <v>37</v>
      </c>
      <c r="I15" s="37" t="s">
        <v>10</v>
      </c>
      <c r="J15" s="37" t="s">
        <v>15</v>
      </c>
      <c r="K15" s="20" t="s">
        <v>27</v>
      </c>
    </row>
    <row r="16" spans="1:11" ht="15.75" thickBot="1" x14ac:dyDescent="0.3">
      <c r="A16" s="50"/>
      <c r="B16" s="52"/>
      <c r="C16" s="52"/>
      <c r="D16" s="21" t="s">
        <v>12</v>
      </c>
      <c r="E16" s="21" t="s">
        <v>14</v>
      </c>
      <c r="F16" s="42"/>
      <c r="I16" s="38"/>
      <c r="J16" s="38"/>
      <c r="K16" s="22" t="s">
        <v>12</v>
      </c>
    </row>
    <row r="17" spans="1:11" ht="23.25" thickBot="1" x14ac:dyDescent="0.3">
      <c r="A17" s="15" t="s">
        <v>2</v>
      </c>
      <c r="B17" s="10">
        <v>0.2</v>
      </c>
      <c r="C17" s="24">
        <v>4</v>
      </c>
      <c r="D17" s="24">
        <v>8</v>
      </c>
      <c r="E17" s="24">
        <f>D17*B17</f>
        <v>1.6</v>
      </c>
      <c r="F17" s="14"/>
      <c r="I17" s="4" t="s">
        <v>28</v>
      </c>
      <c r="J17" s="5" t="s">
        <v>29</v>
      </c>
      <c r="K17" s="5">
        <v>2</v>
      </c>
    </row>
    <row r="18" spans="1:11" ht="15.75" thickBot="1" x14ac:dyDescent="0.3">
      <c r="A18" s="12" t="s">
        <v>3</v>
      </c>
      <c r="B18" s="13">
        <v>0.25</v>
      </c>
      <c r="C18" s="24">
        <v>2</v>
      </c>
      <c r="D18" s="24">
        <v>4</v>
      </c>
      <c r="E18" s="24">
        <f t="shared" ref="E18:E21" si="1">D18*B18</f>
        <v>1</v>
      </c>
      <c r="F18" s="14"/>
      <c r="I18" s="7" t="s">
        <v>30</v>
      </c>
      <c r="J18" s="8" t="s">
        <v>31</v>
      </c>
      <c r="K18" s="8">
        <v>4</v>
      </c>
    </row>
    <row r="19" spans="1:11" ht="26.25" thickBot="1" x14ac:dyDescent="0.3">
      <c r="A19" s="15" t="s">
        <v>4</v>
      </c>
      <c r="B19" s="10">
        <v>0.1</v>
      </c>
      <c r="C19" s="24">
        <v>4</v>
      </c>
      <c r="D19" s="24">
        <v>8</v>
      </c>
      <c r="E19" s="24">
        <f t="shared" si="1"/>
        <v>0.8</v>
      </c>
      <c r="F19" s="14"/>
      <c r="I19" s="4" t="s">
        <v>32</v>
      </c>
      <c r="J19" s="5" t="s">
        <v>33</v>
      </c>
      <c r="K19" s="5">
        <v>6</v>
      </c>
    </row>
    <row r="20" spans="1:11" ht="81.75" thickBot="1" x14ac:dyDescent="0.3">
      <c r="A20" s="12" t="s">
        <v>5</v>
      </c>
      <c r="B20" s="13">
        <v>0.3</v>
      </c>
      <c r="C20" s="24">
        <v>4</v>
      </c>
      <c r="D20" s="24">
        <v>8</v>
      </c>
      <c r="E20" s="24">
        <f t="shared" si="1"/>
        <v>2.4</v>
      </c>
      <c r="F20" s="14"/>
      <c r="I20" s="7" t="s">
        <v>34</v>
      </c>
      <c r="J20" s="8" t="s">
        <v>54</v>
      </c>
      <c r="K20" s="8">
        <v>8</v>
      </c>
    </row>
    <row r="21" spans="1:11" ht="34.5" thickBot="1" x14ac:dyDescent="0.3">
      <c r="A21" s="15" t="s">
        <v>6</v>
      </c>
      <c r="B21" s="10">
        <v>0.15</v>
      </c>
      <c r="C21" s="24">
        <v>5</v>
      </c>
      <c r="D21" s="24">
        <v>10</v>
      </c>
      <c r="E21" s="24">
        <f t="shared" si="1"/>
        <v>1.5</v>
      </c>
      <c r="F21" s="14"/>
      <c r="I21" s="4" t="s">
        <v>35</v>
      </c>
      <c r="J21" s="5" t="s">
        <v>36</v>
      </c>
      <c r="K21" s="5">
        <v>10</v>
      </c>
    </row>
    <row r="22" spans="1:11" ht="15.75" thickBot="1" x14ac:dyDescent="0.3">
      <c r="A22" s="30" t="s">
        <v>38</v>
      </c>
      <c r="B22" s="30"/>
      <c r="C22" s="30"/>
      <c r="D22" s="30"/>
      <c r="E22" s="25">
        <f>SUM(E17:E21)</f>
        <v>7.3000000000000007</v>
      </c>
      <c r="F22" s="16"/>
    </row>
    <row r="23" spans="1:11" ht="15.75" thickBot="1" x14ac:dyDescent="0.3"/>
    <row r="24" spans="1:11" ht="15.75" thickBot="1" x14ac:dyDescent="0.3">
      <c r="A24" s="23" t="s">
        <v>40</v>
      </c>
      <c r="I24" s="53" t="s">
        <v>66</v>
      </c>
      <c r="J24" s="54" t="s">
        <v>67</v>
      </c>
      <c r="K24" s="54" t="s">
        <v>68</v>
      </c>
    </row>
    <row r="25" spans="1:11" ht="15.75" thickBot="1" x14ac:dyDescent="0.3">
      <c r="A25" s="26" t="s">
        <v>39</v>
      </c>
      <c r="B25" s="27">
        <f>(E22+E11)/2</f>
        <v>7.3000000000000007</v>
      </c>
      <c r="I25" s="55" t="s">
        <v>69</v>
      </c>
      <c r="J25" s="56" t="s">
        <v>70</v>
      </c>
      <c r="K25" s="56">
        <v>1</v>
      </c>
    </row>
    <row r="26" spans="1:11" ht="15.75" thickBot="1" x14ac:dyDescent="0.3">
      <c r="A26" s="28" t="s">
        <v>80</v>
      </c>
      <c r="B26" s="27">
        <v>3</v>
      </c>
      <c r="I26" s="57" t="s">
        <v>71</v>
      </c>
      <c r="J26" s="58" t="s">
        <v>72</v>
      </c>
      <c r="K26" s="58">
        <v>2</v>
      </c>
    </row>
    <row r="27" spans="1:11" ht="30.75" thickBot="1" x14ac:dyDescent="0.3">
      <c r="A27" s="28" t="s">
        <v>41</v>
      </c>
      <c r="B27" s="27">
        <v>2</v>
      </c>
      <c r="C27" s="1" t="s">
        <v>43</v>
      </c>
      <c r="I27" s="59" t="s">
        <v>73</v>
      </c>
      <c r="J27" s="56" t="s">
        <v>74</v>
      </c>
      <c r="K27" s="56">
        <v>3</v>
      </c>
    </row>
    <row r="28" spans="1:11" ht="15.75" thickBot="1" x14ac:dyDescent="0.3">
      <c r="A28" s="28" t="s">
        <v>42</v>
      </c>
      <c r="B28" s="29">
        <f>B26*B27</f>
        <v>6</v>
      </c>
      <c r="I28" s="60" t="s">
        <v>75</v>
      </c>
      <c r="J28" s="58" t="s">
        <v>76</v>
      </c>
      <c r="K28" s="58">
        <v>4</v>
      </c>
    </row>
    <row r="29" spans="1:11" ht="15.75" thickBot="1" x14ac:dyDescent="0.3">
      <c r="I29" s="61" t="s">
        <v>77</v>
      </c>
      <c r="J29" s="56" t="s">
        <v>78</v>
      </c>
      <c r="K29" s="56">
        <v>5</v>
      </c>
    </row>
  </sheetData>
  <mergeCells count="13">
    <mergeCell ref="A22:D22"/>
    <mergeCell ref="A15:A16"/>
    <mergeCell ref="B15:B16"/>
    <mergeCell ref="C15:C16"/>
    <mergeCell ref="F15:F16"/>
    <mergeCell ref="I15:I16"/>
    <mergeCell ref="J15:J16"/>
    <mergeCell ref="A1:F1"/>
    <mergeCell ref="A4:A5"/>
    <mergeCell ref="B4:B5"/>
    <mergeCell ref="C4:C5"/>
    <mergeCell ref="F4:F5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Infosec</vt:lpstr>
      <vt:lpstr>IT Gov</vt:lpstr>
      <vt:lpstr>IT Infra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 Goel</dc:creator>
  <cp:lastModifiedBy>Biju Varughese Skariah</cp:lastModifiedBy>
  <dcterms:created xsi:type="dcterms:W3CDTF">2026-04-30T12:38:54Z</dcterms:created>
  <dcterms:modified xsi:type="dcterms:W3CDTF">2026-05-01T05:58:28Z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a88fe9-e822-4727-abde-1b56444e8f2b_Enabled">
    <vt:lpwstr>true</vt:lpwstr>
  </property>
  <property fmtid="{D5CDD505-2E9C-101B-9397-08002B2CF9AE}" pid="3" name="MSIP_Label_caa88fe9-e822-4727-abde-1b56444e8f2b_SetDate">
    <vt:lpwstr>2026-04-30T13:15:27Z</vt:lpwstr>
  </property>
  <property fmtid="{D5CDD505-2E9C-101B-9397-08002B2CF9AE}" pid="4" name="MSIP_Label_caa88fe9-e822-4727-abde-1b56444e8f2b_Method">
    <vt:lpwstr>Standard</vt:lpwstr>
  </property>
  <property fmtid="{D5CDD505-2E9C-101B-9397-08002B2CF9AE}" pid="5" name="MSIP_Label_caa88fe9-e822-4727-abde-1b56444e8f2b_Name">
    <vt:lpwstr>RAKBANK-Internal for files</vt:lpwstr>
  </property>
  <property fmtid="{D5CDD505-2E9C-101B-9397-08002B2CF9AE}" pid="6" name="MSIP_Label_caa88fe9-e822-4727-abde-1b56444e8f2b_SiteId">
    <vt:lpwstr>fbb70b95-2828-4ce3-90d5-c6e1ff243618</vt:lpwstr>
  </property>
  <property fmtid="{D5CDD505-2E9C-101B-9397-08002B2CF9AE}" pid="7" name="MSIP_Label_caa88fe9-e822-4727-abde-1b56444e8f2b_ActionId">
    <vt:lpwstr>554dd933-d655-4411-8c2b-4e3944266f57</vt:lpwstr>
  </property>
  <property fmtid="{D5CDD505-2E9C-101B-9397-08002B2CF9AE}" pid="8" name="MSIP_Label_caa88fe9-e822-4727-abde-1b56444e8f2b_ContentBits">
    <vt:lpwstr>2</vt:lpwstr>
  </property>
  <property fmtid="{D5CDD505-2E9C-101B-9397-08002B2CF9AE}" pid="9" name="MSIP_Label_caa88fe9-e822-4727-abde-1b56444e8f2b_Tag">
    <vt:lpwstr>10, 3, 0, 1</vt:lpwstr>
  </property>
  <property fmtid="{D5CDD505-2E9C-101B-9397-08002B2CF9AE}" pid="10" name="{A44787D4-0540-4523-9961-78E4036D8C6D}">
    <vt:lpwstr>{A1475FC7-E267-45E4-8BAF-BFD533D7BC35}</vt:lpwstr>
  </property>
</Properties>
</file>